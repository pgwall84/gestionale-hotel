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gwal\Cloude\gestionale-hotel\docs\"/>
    </mc:Choice>
  </mc:AlternateContent>
  <xr:revisionPtr revIDLastSave="0" documentId="11_C8F73E83B3F82FA44EACAD32533FCFB56F0EBB18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fronto costi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5" i="1" l="1"/>
  <c r="E25" i="1" s="1"/>
  <c r="C25" i="1"/>
  <c r="E24" i="1"/>
  <c r="E23" i="1"/>
  <c r="E21" i="1"/>
  <c r="E19" i="1"/>
  <c r="E18" i="1"/>
  <c r="E17" i="1"/>
  <c r="E16" i="1"/>
  <c r="E15" i="1"/>
  <c r="E12" i="1"/>
  <c r="E10" i="1"/>
  <c r="E8" i="1"/>
  <c r="E7" i="1"/>
  <c r="E6" i="1"/>
  <c r="E5" i="1"/>
</calcChain>
</file>

<file path=xl/sharedStrings.xml><?xml version="1.0" encoding="utf-8"?>
<sst xmlns="http://schemas.openxmlformats.org/spreadsheetml/2006/main" count="93" uniqueCount="61">
  <si>
    <t>Hotel del Golfo — Confronto costi: oggi vs a lavoro completo (Fase 2)</t>
  </si>
  <si>
    <t>Aggiornato al 07/08/2026 — stime dove non diversamente indicato. Colonna Certezza: Certo = importo confermato da Marco o listino pubblico verificato; Stima = preventivo/piano indicativo, da riconfermare; Sconosciuto = a preventivo, nessun numero disponibile.</t>
  </si>
  <si>
    <t>Categoria</t>
  </si>
  <si>
    <t>Voce</t>
  </si>
  <si>
    <t>Oggi (€/anno)</t>
  </si>
  <si>
    <t>Domani (€/anno)</t>
  </si>
  <si>
    <t>Variazione (€/anno)</t>
  </si>
  <si>
    <t>Certezza</t>
  </si>
  <si>
    <t>Note</t>
  </si>
  <si>
    <t>PMS / Booking</t>
  </si>
  <si>
    <t>TeamSystem Hospitality (abbonamento attuale)</t>
  </si>
  <si>
    <t>Certo</t>
  </si>
  <si>
    <t>Dato da Marco (07/08/2026). Sparisce con lo switch-off (Fase 2B — nov 2026 o feb 2027, mai in estate).</t>
  </si>
  <si>
    <t>Gestione OTA varie (fornitore esterno attuale)</t>
  </si>
  <si>
    <t>Dato da Marco (07/08/2026). Sostituito dal Channel Manager WuBook sotto.</t>
  </si>
  <si>
    <t>WuBook Channel Manager</t>
  </si>
  <si>
    <t>Stima</t>
  </si>
  <si>
    <t>~21€/mese, preventivo storico riportato in docs/EVOLUTIVE.md. WuBook oggi non pubblica più un listino fisso (solo "contattaci") — riconfermare prima di firmare.</t>
  </si>
  <si>
    <t>WuBook Booking Engine</t>
  </si>
  <si>
    <t>~27€/mese, stesso preventivo storico. Stesso caveat: da riconfermare, prezzo non più pubblico.</t>
  </si>
  <si>
    <t>Pagamenti online Nexi/Stripe (via WuBook)</t>
  </si>
  <si>
    <t>N/A</t>
  </si>
  <si>
    <t>Commissione % per transazione (indicativamente 1-2,5%), non un canone fisso — non incluso nel totale, dipende dal fatturato che passa online.</t>
  </si>
  <si>
    <t>Fiscale</t>
  </si>
  <si>
    <t>Registratore telematico Hugin RT-K50 (memoria)</t>
  </si>
  <si>
    <t>Dato da Marco (07/08/2026): la memoria si esaurisce e va sostituita, costo stimato 150€/anno. Eliminato passando ad A-Cube (cloud, nessuna memoria fisica).</t>
  </si>
  <si>
    <t>A-Cube API (corrispettivi elettronici)</t>
  </si>
  <si>
    <t>Sconosciuto</t>
  </si>
  <si>
    <t>Solo a preventivo (sales@a-cube.io) — dipende da volume scontrini/fatture e numero sedi. Nessun listino pubblico trovato.</t>
  </si>
  <si>
    <t>Fatture in Cloud (fatturazione B2B)</t>
  </si>
  <si>
    <t>Dato da Marco (07/08/2026): già in uso oggi, 500€/anno. A lavoro completo assunto invariato (stesso piano) — potrebbe cambiare se si passa a un piano superiore per il volume post-Fase 2, decisione ancora da confermare col commercialista (CLAUDE.md, decisioni Fase 2). Nota: nel range di listino pubblico verificato, 500€/anno è tra il piano Standard (144€/anno) e il Premium (252€/anno) — probabilmente riflette sconti/add-on non visibili dal listino pubblico.</t>
  </si>
  <si>
    <t>Sito web</t>
  </si>
  <si>
    <t>Sito web + email aziendale (fornitore esterno attuale)</t>
  </si>
  <si>
    <t>Dato da Marco (07/08/2026). A lavoro finito parte si sposta su Vercel/Sanity (quasi gratis) ma l'email aziendale probabilmente resta un costo separato non ancora isolato — verificare cosa include esattamente oggi prima di dare per scontato che sparisca del tutto.</t>
  </si>
  <si>
    <t>Dominio hoteldelgolfolerici.com (rinnovo annuale)</t>
  </si>
  <si>
    <t>Importo non specificato — probabilmente incluso nella voce sopra. Il costo di rinnovo resta comunque anche a lavoro finito, non è eliminabile.</t>
  </si>
  <si>
    <t>Hosting sito — Vercel</t>
  </si>
  <si>
    <t>Piano Hobby attuale (gratis) è per uso "personale, non commerciale" da contratto Vercel — un sito che vende camere è commerciale. Da passare al piano Pro (~20$/mese) quando il sito è operativo per davvero, non solo per capacità.</t>
  </si>
  <si>
    <t>CMS — Sanity</t>
  </si>
  <si>
    <t>Piano free (2 dataset, 500.000 richieste/mese) probabilmente sufficiente a questo volume — monitorare se serve upgrade.</t>
  </si>
  <si>
    <t>Email transazionali — Resend</t>
  </si>
  <si>
    <t>Piano free: 3.000 email/mese, 100/giorno — probabilmente sufficiente, monitorare soprattutto il limite giornaliero.</t>
  </si>
  <si>
    <t>Google Analytics 4</t>
  </si>
  <si>
    <t>Sempre gratuito a questi volumi di traffico.</t>
  </si>
  <si>
    <t>Iubenda (privacy/cookie policy)</t>
  </si>
  <si>
    <t>Piano Free oggi (sotto 1.000 pageview/mese sul dominio provvisorio); piano Essentials ~5€/mese quando il dominio finale sarà collegato e il traffico salirà.</t>
  </si>
  <si>
    <t>Instagram feed + Facebook Pixel</t>
  </si>
  <si>
    <t>Facebook Pixel gratis (solo account Meta Business). Feed Instagram gratis con limiti o a pagamento secondo il provider scelto (Elfsight/EmbedSocial/Common Ninja) — verificare piano prima di promettere "gratis".</t>
  </si>
  <si>
    <t>WhatsApp — pulsante click-to-chat</t>
  </si>
  <si>
    <t>Fatto 06/08/2026 — link diretto wa.me, nessun costo.</t>
  </si>
  <si>
    <t>WhatsApp Business API (opzionale, non deciso)</t>
  </si>
  <si>
    <t>Non ancora deciso se attivarla (Marco: prima il link gratuito, poi si valuta). Se sì: provider terzo a canone, non quantificato con certezza — non incluso nel totale.</t>
  </si>
  <si>
    <t>Gestionale interno</t>
  </si>
  <si>
    <t>Hosting VPS — Hetzner CX22 (Deploy 1.10)</t>
  </si>
  <si>
    <t>Oggi il gestionale gira solo su LAN (0€). Range noto in CLAUDE.md: 75-90€/anno, qui il punto medio.</t>
  </si>
  <si>
    <t>Software gestionale (sviluppo proprietario)</t>
  </si>
  <si>
    <t>Nessun canone SaaS: sviluppato su misura, non un prodotto in abbonamento.</t>
  </si>
  <si>
    <t>TOTALE (solo voci quantificabili — esclude A-Cube, dominio, email aziendale, Fatture in Cloud oltre stima bassa, commissioni pagamento, WhatsApp API, Instagram feed)</t>
  </si>
  <si>
    <t>Legenda</t>
  </si>
  <si>
    <t>Testo blu = dato fornito da Marco o valore noto/pubblico; celle vuote = nessun numero disponibile (a preventivo).</t>
  </si>
  <si>
    <t>Certo = confermato oggi. Stima = preventivo/piano indicativo, da riconfermare prima di impegnarsi. Sconosciuto = a preventivo, zero visibilità. N/A = costo variabile (%), non esprimibile come canone annuo fisso.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</si>
</sst>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#,##0;&quot;(€&quot;#,##0\);\-"/>
  </numFmts>
  <fonts count="9" x14ac:knownFonts="1">
    <font>
      <sz val="11"/>
      <color theme="1"/>
      <name val="Calibri"/>
      <family val="2"/>
      <charset val="1"/>
    </font>
    <font>
      <b/>
      <sz val="14"/>
      <color rgb="FF1B3A5C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i/>
      <sz val="9"/>
      <color rgb="FF595959"/>
      <name val="Arial"/>
      <charset val="1"/>
    </font>
    <font>
      <b/>
      <i/>
      <sz val="10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DCE6F1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6" fillId="0" borderId="0" xfId="0" applyFont="1" applyAlignment="1">
      <alignment wrapText="1"/>
    </xf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vertical="top"/>
    </xf>
    <xf numFmtId="164" fontId="4" fillId="0" borderId="1" xfId="0" applyNumberFormat="1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0" fontId="0" fillId="3" borderId="1" xfId="0" applyFill="1" applyBorder="1"/>
    <xf numFmtId="0" fontId="7" fillId="3" borderId="1" xfId="0" applyFont="1" applyFill="1" applyBorder="1"/>
    <xf numFmtId="164" fontId="8" fillId="3" borderId="1" xfId="0" applyNumberFormat="1" applyFont="1" applyFill="1" applyBorder="1"/>
    <xf numFmtId="0" fontId="8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zoomScaleNormal="100" workbookViewId="0">
      <pane ySplit="4" topLeftCell="A19" activePane="bottomLeft" state="frozen"/>
      <selection pane="bottomLeft" sqref="A1:G1"/>
    </sheetView>
  </sheetViews>
  <sheetFormatPr defaultColWidth="8.6640625" defaultRowHeight="14.4" x14ac:dyDescent="0.3"/>
  <cols>
    <col min="1" max="1" width="16" customWidth="1"/>
    <col min="2" max="2" width="42" customWidth="1"/>
    <col min="3" max="3" width="13" customWidth="1"/>
    <col min="4" max="4" width="14" customWidth="1"/>
    <col min="5" max="5" width="15" customWidth="1"/>
    <col min="6" max="6" width="12" customWidth="1"/>
    <col min="7" max="7" width="60" customWidth="1"/>
  </cols>
  <sheetData>
    <row r="1" spans="1:7" ht="17.399999999999999" x14ac:dyDescent="0.3">
      <c r="A1" s="3" t="s">
        <v>0</v>
      </c>
      <c r="B1" s="3"/>
      <c r="C1" s="3"/>
      <c r="D1" s="3"/>
      <c r="E1" s="3"/>
      <c r="F1" s="3"/>
      <c r="G1" s="3"/>
    </row>
    <row r="2" spans="1:7" x14ac:dyDescent="0.3">
      <c r="A2" s="2" t="s">
        <v>1</v>
      </c>
      <c r="B2" s="2"/>
      <c r="C2" s="2"/>
      <c r="D2" s="2"/>
      <c r="E2" s="2"/>
      <c r="F2" s="2"/>
      <c r="G2" s="2"/>
    </row>
    <row r="4" spans="1:7" ht="27.6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spans="1:7" ht="22.8" x14ac:dyDescent="0.3">
      <c r="A5" s="5" t="s">
        <v>9</v>
      </c>
      <c r="B5" s="6" t="s">
        <v>10</v>
      </c>
      <c r="C5" s="7">
        <v>1500</v>
      </c>
      <c r="D5" s="7">
        <v>0</v>
      </c>
      <c r="E5" s="8">
        <f>D5-C5</f>
        <v>-1500</v>
      </c>
      <c r="F5" s="5" t="s">
        <v>11</v>
      </c>
      <c r="G5" s="9" t="s">
        <v>12</v>
      </c>
    </row>
    <row r="6" spans="1:7" x14ac:dyDescent="0.3">
      <c r="A6" s="5" t="s">
        <v>9</v>
      </c>
      <c r="B6" s="6" t="s">
        <v>13</v>
      </c>
      <c r="C6" s="7">
        <v>500</v>
      </c>
      <c r="D6" s="7">
        <v>0</v>
      </c>
      <c r="E6" s="8">
        <f>D6-C6</f>
        <v>-500</v>
      </c>
      <c r="F6" s="5" t="s">
        <v>11</v>
      </c>
      <c r="G6" s="9" t="s">
        <v>14</v>
      </c>
    </row>
    <row r="7" spans="1:7" ht="34.200000000000003" x14ac:dyDescent="0.3">
      <c r="A7" s="5" t="s">
        <v>9</v>
      </c>
      <c r="B7" s="6" t="s">
        <v>15</v>
      </c>
      <c r="C7" s="7">
        <v>0</v>
      </c>
      <c r="D7" s="7">
        <v>252</v>
      </c>
      <c r="E7" s="8">
        <f>D7-C7</f>
        <v>252</v>
      </c>
      <c r="F7" s="5" t="s">
        <v>16</v>
      </c>
      <c r="G7" s="9" t="s">
        <v>17</v>
      </c>
    </row>
    <row r="8" spans="1:7" ht="22.8" x14ac:dyDescent="0.3">
      <c r="A8" s="5" t="s">
        <v>9</v>
      </c>
      <c r="B8" s="6" t="s">
        <v>18</v>
      </c>
      <c r="C8" s="7">
        <v>0</v>
      </c>
      <c r="D8" s="7">
        <v>324</v>
      </c>
      <c r="E8" s="8">
        <f>D8-C8</f>
        <v>324</v>
      </c>
      <c r="F8" s="5" t="s">
        <v>16</v>
      </c>
      <c r="G8" s="9" t="s">
        <v>19</v>
      </c>
    </row>
    <row r="9" spans="1:7" ht="22.8" x14ac:dyDescent="0.3">
      <c r="A9" s="5" t="s">
        <v>9</v>
      </c>
      <c r="B9" s="6" t="s">
        <v>20</v>
      </c>
      <c r="C9" s="7"/>
      <c r="D9" s="7"/>
      <c r="E9" s="10"/>
      <c r="F9" s="5" t="s">
        <v>21</v>
      </c>
      <c r="G9" s="9" t="s">
        <v>22</v>
      </c>
    </row>
    <row r="10" spans="1:7" ht="34.200000000000003" x14ac:dyDescent="0.3">
      <c r="A10" s="5" t="s">
        <v>23</v>
      </c>
      <c r="B10" s="6" t="s">
        <v>24</v>
      </c>
      <c r="C10" s="7">
        <v>150</v>
      </c>
      <c r="D10" s="7">
        <v>0</v>
      </c>
      <c r="E10" s="8">
        <f>D10-C10</f>
        <v>-150</v>
      </c>
      <c r="F10" s="5" t="s">
        <v>11</v>
      </c>
      <c r="G10" s="9" t="s">
        <v>25</v>
      </c>
    </row>
    <row r="11" spans="1:7" ht="22.8" x14ac:dyDescent="0.3">
      <c r="A11" s="5" t="s">
        <v>23</v>
      </c>
      <c r="B11" s="6" t="s">
        <v>26</v>
      </c>
      <c r="C11" s="7">
        <v>0</v>
      </c>
      <c r="D11" s="7"/>
      <c r="E11" s="10"/>
      <c r="F11" s="5" t="s">
        <v>27</v>
      </c>
      <c r="G11" s="9" t="s">
        <v>28</v>
      </c>
    </row>
    <row r="12" spans="1:7" ht="79.8" x14ac:dyDescent="0.3">
      <c r="A12" s="5" t="s">
        <v>23</v>
      </c>
      <c r="B12" s="6" t="s">
        <v>29</v>
      </c>
      <c r="C12" s="7">
        <v>500</v>
      </c>
      <c r="D12" s="7">
        <v>500</v>
      </c>
      <c r="E12" s="8">
        <f>D12-C12</f>
        <v>0</v>
      </c>
      <c r="F12" s="5" t="s">
        <v>11</v>
      </c>
      <c r="G12" s="9" t="s">
        <v>30</v>
      </c>
    </row>
    <row r="13" spans="1:7" ht="45.6" x14ac:dyDescent="0.3">
      <c r="A13" s="5" t="s">
        <v>31</v>
      </c>
      <c r="B13" s="6" t="s">
        <v>32</v>
      </c>
      <c r="C13" s="7">
        <v>800</v>
      </c>
      <c r="D13" s="7"/>
      <c r="E13" s="10"/>
      <c r="F13" s="5" t="s">
        <v>27</v>
      </c>
      <c r="G13" s="9" t="s">
        <v>33</v>
      </c>
    </row>
    <row r="14" spans="1:7" ht="22.8" x14ac:dyDescent="0.3">
      <c r="A14" s="5" t="s">
        <v>31</v>
      </c>
      <c r="B14" s="6" t="s">
        <v>34</v>
      </c>
      <c r="C14" s="7"/>
      <c r="D14" s="7"/>
      <c r="E14" s="10"/>
      <c r="F14" s="5" t="s">
        <v>27</v>
      </c>
      <c r="G14" s="9" t="s">
        <v>35</v>
      </c>
    </row>
    <row r="15" spans="1:7" ht="45.6" x14ac:dyDescent="0.3">
      <c r="A15" s="5" t="s">
        <v>31</v>
      </c>
      <c r="B15" s="6" t="s">
        <v>36</v>
      </c>
      <c r="C15" s="7">
        <v>0</v>
      </c>
      <c r="D15" s="7">
        <v>220</v>
      </c>
      <c r="E15" s="8">
        <f>D15-C15</f>
        <v>220</v>
      </c>
      <c r="F15" s="5" t="s">
        <v>16</v>
      </c>
      <c r="G15" s="9" t="s">
        <v>37</v>
      </c>
    </row>
    <row r="16" spans="1:7" ht="22.8" x14ac:dyDescent="0.3">
      <c r="A16" s="5" t="s">
        <v>31</v>
      </c>
      <c r="B16" s="6" t="s">
        <v>38</v>
      </c>
      <c r="C16" s="7">
        <v>0</v>
      </c>
      <c r="D16" s="7">
        <v>0</v>
      </c>
      <c r="E16" s="8">
        <f>D16-C16</f>
        <v>0</v>
      </c>
      <c r="F16" s="5" t="s">
        <v>16</v>
      </c>
      <c r="G16" s="9" t="s">
        <v>39</v>
      </c>
    </row>
    <row r="17" spans="1:7" ht="22.8" x14ac:dyDescent="0.3">
      <c r="A17" s="5" t="s">
        <v>31</v>
      </c>
      <c r="B17" s="6" t="s">
        <v>40</v>
      </c>
      <c r="C17" s="7">
        <v>0</v>
      </c>
      <c r="D17" s="7">
        <v>0</v>
      </c>
      <c r="E17" s="8">
        <f>D17-C17</f>
        <v>0</v>
      </c>
      <c r="F17" s="5" t="s">
        <v>16</v>
      </c>
      <c r="G17" s="9" t="s">
        <v>41</v>
      </c>
    </row>
    <row r="18" spans="1:7" x14ac:dyDescent="0.3">
      <c r="A18" s="5" t="s">
        <v>31</v>
      </c>
      <c r="B18" s="6" t="s">
        <v>42</v>
      </c>
      <c r="C18" s="7">
        <v>0</v>
      </c>
      <c r="D18" s="7">
        <v>0</v>
      </c>
      <c r="E18" s="8">
        <f>D18-C18</f>
        <v>0</v>
      </c>
      <c r="F18" s="5" t="s">
        <v>11</v>
      </c>
      <c r="G18" s="9" t="s">
        <v>43</v>
      </c>
    </row>
    <row r="19" spans="1:7" ht="22.8" x14ac:dyDescent="0.3">
      <c r="A19" s="5" t="s">
        <v>31</v>
      </c>
      <c r="B19" s="6" t="s">
        <v>44</v>
      </c>
      <c r="C19" s="7">
        <v>0</v>
      </c>
      <c r="D19" s="7">
        <v>60</v>
      </c>
      <c r="E19" s="8">
        <f>D19-C19</f>
        <v>60</v>
      </c>
      <c r="F19" s="5" t="s">
        <v>16</v>
      </c>
      <c r="G19" s="9" t="s">
        <v>45</v>
      </c>
    </row>
    <row r="20" spans="1:7" ht="34.200000000000003" x14ac:dyDescent="0.3">
      <c r="A20" s="5" t="s">
        <v>31</v>
      </c>
      <c r="B20" s="6" t="s">
        <v>46</v>
      </c>
      <c r="C20" s="7">
        <v>0</v>
      </c>
      <c r="D20" s="7"/>
      <c r="E20" s="10"/>
      <c r="F20" s="5" t="s">
        <v>27</v>
      </c>
      <c r="G20" s="9" t="s">
        <v>47</v>
      </c>
    </row>
    <row r="21" spans="1:7" x14ac:dyDescent="0.3">
      <c r="A21" s="5" t="s">
        <v>31</v>
      </c>
      <c r="B21" s="6" t="s">
        <v>48</v>
      </c>
      <c r="C21" s="7">
        <v>0</v>
      </c>
      <c r="D21" s="7">
        <v>0</v>
      </c>
      <c r="E21" s="8">
        <f>D21-C21</f>
        <v>0</v>
      </c>
      <c r="F21" s="5" t="s">
        <v>11</v>
      </c>
      <c r="G21" s="9" t="s">
        <v>49</v>
      </c>
    </row>
    <row r="22" spans="1:7" ht="22.8" x14ac:dyDescent="0.3">
      <c r="A22" s="5" t="s">
        <v>31</v>
      </c>
      <c r="B22" s="6" t="s">
        <v>50</v>
      </c>
      <c r="C22" s="7">
        <v>0</v>
      </c>
      <c r="D22" s="7"/>
      <c r="E22" s="10"/>
      <c r="F22" s="5" t="s">
        <v>21</v>
      </c>
      <c r="G22" s="9" t="s">
        <v>51</v>
      </c>
    </row>
    <row r="23" spans="1:7" ht="22.8" x14ac:dyDescent="0.3">
      <c r="A23" s="5" t="s">
        <v>52</v>
      </c>
      <c r="B23" s="6" t="s">
        <v>53</v>
      </c>
      <c r="C23" s="7">
        <v>0</v>
      </c>
      <c r="D23" s="7">
        <v>82</v>
      </c>
      <c r="E23" s="8">
        <f>D23-C23</f>
        <v>82</v>
      </c>
      <c r="F23" s="5" t="s">
        <v>16</v>
      </c>
      <c r="G23" s="9" t="s">
        <v>54</v>
      </c>
    </row>
    <row r="24" spans="1:7" x14ac:dyDescent="0.3">
      <c r="A24" s="5" t="s">
        <v>52</v>
      </c>
      <c r="B24" s="6" t="s">
        <v>55</v>
      </c>
      <c r="C24" s="7">
        <v>0</v>
      </c>
      <c r="D24" s="7">
        <v>0</v>
      </c>
      <c r="E24" s="8">
        <f>D24-C24</f>
        <v>0</v>
      </c>
      <c r="F24" s="5" t="s">
        <v>11</v>
      </c>
      <c r="G24" s="9" t="s">
        <v>56</v>
      </c>
    </row>
    <row r="25" spans="1:7" x14ac:dyDescent="0.3">
      <c r="A25" s="11"/>
      <c r="B25" s="12" t="s">
        <v>57</v>
      </c>
      <c r="C25" s="13">
        <f>SUM(C5:C24)</f>
        <v>3450</v>
      </c>
      <c r="D25" s="13">
        <f>SUM(D5:D24)</f>
        <v>1438</v>
      </c>
      <c r="E25" s="13">
        <f>D25-C25</f>
        <v>-2012</v>
      </c>
      <c r="F25" s="11"/>
      <c r="G25" s="11"/>
    </row>
    <row r="28" spans="1:7" x14ac:dyDescent="0.3">
      <c r="A28" s="14" t="s">
        <v>58</v>
      </c>
    </row>
    <row r="29" spans="1:7" ht="15" customHeight="1" x14ac:dyDescent="0.3">
      <c r="A29" s="1" t="s">
        <v>59</v>
      </c>
      <c r="B29" s="1"/>
      <c r="C29" s="1"/>
      <c r="D29" s="1"/>
      <c r="E29" s="1"/>
      <c r="F29" s="1"/>
      <c r="G29" s="1"/>
    </row>
    <row r="30" spans="1:7" ht="15" customHeight="1" x14ac:dyDescent="0.3">
      <c r="A30" s="1" t="s">
        <v>60</v>
      </c>
      <c r="B30" s="1"/>
      <c r="C30" s="1"/>
      <c r="D30" s="1"/>
      <c r="E30" s="1"/>
      <c r="F30" s="1"/>
      <c r="G30" s="1"/>
    </row>
  </sheetData>
  <mergeCells count="4">
    <mergeCell ref="A1:G1"/>
    <mergeCell ref="A2:G2"/>
    <mergeCell ref="A29:G29"/>
    <mergeCell ref="A30:G3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Confronto costi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Marco Muro</cp:lastModifiedBy>
  <cp:revision>0</cp:revision>
  <dcterms:created xsi:type="dcterms:W3CDTF">2026-08-06T22:14:12Z</dcterms:created>
  <dcterms:modified xsi:type="dcterms:W3CDTF">2026-08-06T22:24:21Z</dcterms:modified>
  <dc:language>en-US</dc:language>
</cp:coreProperties>
</file>